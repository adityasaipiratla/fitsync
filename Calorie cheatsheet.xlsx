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piratla/Downloads/"/>
    </mc:Choice>
  </mc:AlternateContent>
  <xr:revisionPtr revIDLastSave="0" documentId="13_ncr:1_{B71D99CD-ABF5-1E41-A934-B7F1D962EE8D}" xr6:coauthVersionLast="47" xr6:coauthVersionMax="47" xr10:uidLastSave="{00000000-0000-0000-0000-000000000000}"/>
  <bookViews>
    <workbookView xWindow="0" yWindow="0" windowWidth="28800" windowHeight="18000" xr2:uid="{4045C3D1-636B-4A4B-9B35-672AA64DC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I19" i="1"/>
  <c r="J20" i="1"/>
  <c r="I20" i="1"/>
  <c r="J17" i="1"/>
  <c r="I17" i="1"/>
  <c r="J15" i="1"/>
  <c r="J21" i="1" s="1"/>
  <c r="I15" i="1"/>
  <c r="I21" i="1" s="1"/>
  <c r="J8" i="1"/>
  <c r="I8" i="1"/>
  <c r="J7" i="1"/>
  <c r="I7" i="1"/>
  <c r="J6" i="1"/>
  <c r="I6" i="1"/>
  <c r="J5" i="1"/>
  <c r="I5" i="1"/>
  <c r="J4" i="1"/>
  <c r="I4" i="1"/>
  <c r="I9" i="1" l="1"/>
  <c r="J9" i="1"/>
</calcChain>
</file>

<file path=xl/sharedStrings.xml><?xml version="1.0" encoding="utf-8"?>
<sst xmlns="http://schemas.openxmlformats.org/spreadsheetml/2006/main" count="105" uniqueCount="94">
  <si>
    <t>Item</t>
  </si>
  <si>
    <t>Weight / Portion</t>
  </si>
  <si>
    <t>Calories approx</t>
  </si>
  <si>
    <t>Protein approx</t>
  </si>
  <si>
    <t>Rajma curry</t>
  </si>
  <si>
    <t>100 g</t>
  </si>
  <si>
    <t>115-130</t>
  </si>
  <si>
    <t>6-9 g</t>
  </si>
  <si>
    <t>Soya/chana/other curries</t>
  </si>
  <si>
    <t>130-160</t>
  </si>
  <si>
    <t>9-13 g</t>
  </si>
  <si>
    <t>1 phulka</t>
  </si>
  <si>
    <t>1 medium</t>
  </si>
  <si>
    <t>85-100</t>
  </si>
  <si>
    <t>3-3.5 g</t>
  </si>
  <si>
    <t>1 banana</t>
  </si>
  <si>
    <t>100-105</t>
  </si>
  <si>
    <t>1-1.2 g</t>
  </si>
  <si>
    <t>300 ml whole milk</t>
  </si>
  <si>
    <t>300 ml</t>
  </si>
  <si>
    <t>185-190</t>
  </si>
  <si>
    <t>10 g</t>
  </si>
  <si>
    <t>1.5 scoops whey</t>
  </si>
  <si>
    <t>1.5 scoops</t>
  </si>
  <si>
    <t>36 g</t>
  </si>
  <si>
    <t>1 scoop yeast protein</t>
  </si>
  <si>
    <t>1 scoop</t>
  </si>
  <si>
    <t>27 g</t>
  </si>
  <si>
    <t>100 g cheese (pack)</t>
  </si>
  <si>
    <t>23 g</t>
  </si>
  <si>
    <t>50 g cheese (omelette)</t>
  </si>
  <si>
    <t>50 g</t>
  </si>
  <si>
    <t>~11.5 g</t>
  </si>
  <si>
    <t>2 eggs (omelette)</t>
  </si>
  <si>
    <t>2 whole eggs</t>
  </si>
  <si>
    <t>140-160</t>
  </si>
  <si>
    <t>12-13 g</t>
  </si>
  <si>
    <t>2‑egg cheese omelette (50 g cheese)</t>
  </si>
  <si>
    <t>2 eggs + 50 g cheese</t>
  </si>
  <si>
    <t>280-310</t>
  </si>
  <si>
    <t>24-26 g</t>
  </si>
  <si>
    <t>Amul protein curd</t>
  </si>
  <si>
    <t>~6 g</t>
  </si>
  <si>
    <t>Protein oats</t>
  </si>
  <si>
    <t>26 g</t>
  </si>
  <si>
    <t>Pomegranates / berries</t>
  </si>
  <si>
    <t>70-90</t>
  </si>
  <si>
    <t>0.5-1 g</t>
  </si>
  <si>
    <t>60-70</t>
  </si>
  <si>
    <t>1-2 g</t>
  </si>
  <si>
    <t>25-40</t>
  </si>
  <si>
    <t>2-4 g</t>
  </si>
  <si>
    <t>Buttermilk</t>
  </si>
  <si>
    <t>100 ml</t>
  </si>
  <si>
    <t>40-45</t>
  </si>
  <si>
    <t>2-3 g</t>
  </si>
  <si>
    <t>Cooking oil</t>
  </si>
  <si>
    <t>1 tsp</t>
  </si>
  <si>
    <t>~45</t>
  </si>
  <si>
    <t>~5 g fat</t>
  </si>
  <si>
    <t>Walking / skipping 30 min</t>
  </si>
  <si>
    <t>1 session</t>
  </si>
  <si>
    <t>150-250</t>
  </si>
  <si>
    <t>(burned)</t>
  </si>
  <si>
    <t>100g sprouts</t>
  </si>
  <si>
    <t>10g mixed nuts</t>
  </si>
  <si>
    <t>Morning</t>
  </si>
  <si>
    <t>Early Afternoon</t>
  </si>
  <si>
    <t>Lunch</t>
  </si>
  <si>
    <t>Snacks</t>
  </si>
  <si>
    <t>Dinner</t>
  </si>
  <si>
    <t>calories</t>
  </si>
  <si>
    <t>protein</t>
  </si>
  <si>
    <t>butter milk + yeast protein</t>
  </si>
  <si>
    <t>protein curd + oats + pomegranates</t>
  </si>
  <si>
    <t>3 phulkas + 350g curry + reg curd</t>
  </si>
  <si>
    <t>3 carrots + makhana/nuts</t>
  </si>
  <si>
    <t>Carrot</t>
  </si>
  <si>
    <t>Makhana</t>
  </si>
  <si>
    <t>2ggs + 50g cheese + (whey protein + creatine shake)</t>
  </si>
  <si>
    <t>2 eggs + 50g cheese + veggies omelette</t>
  </si>
  <si>
    <t>2 phulka + 260g curry</t>
  </si>
  <si>
    <t>5 carrots + corn cob + 50g pomegranates</t>
  </si>
  <si>
    <t>Corn Cob</t>
  </si>
  <si>
    <t>90-100</t>
  </si>
  <si>
    <t>3-3.5</t>
  </si>
  <si>
    <t>water + whey + creatine</t>
  </si>
  <si>
    <t>buttermilk + yeast protein</t>
  </si>
  <si>
    <t>200g curd</t>
  </si>
  <si>
    <t>Normal curd</t>
  </si>
  <si>
    <t>100g</t>
  </si>
  <si>
    <t>Calories</t>
  </si>
  <si>
    <t>Protein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</si>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</sst>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264C-EB01-1349-8BEF-66E3A877E9A9}">
  <dimension ref="B3:J26"/>
  <sheetViews>
    <sheetView tabSelected="1" workbookViewId="0">
      <selection activeCell="D14" sqref="D14"/>
    </sheetView>
  </sheetViews>
  <sheetFormatPr baseColWidth="10" defaultRowHeight="16" x14ac:dyDescent="0.2"/>
  <cols>
    <col min="2" max="2" width="30.83203125" bestFit="1" customWidth="1"/>
    <col min="3" max="3" width="19.5" customWidth="1"/>
    <col min="4" max="4" width="13.83203125" bestFit="1" customWidth="1"/>
    <col min="5" max="5" width="12.83203125" bestFit="1" customWidth="1"/>
    <col min="7" max="7" width="13.33203125" bestFit="1" customWidth="1"/>
    <col min="8" max="8" width="43.1640625" bestFit="1" customWidth="1"/>
  </cols>
  <sheetData>
    <row r="3" spans="2:10" x14ac:dyDescent="0.2">
      <c r="B3" t="s">
        <v>0</v>
      </c>
      <c r="C3" t="s">
        <v>1</v>
      </c>
      <c r="D3" t="s">
        <v>2</v>
      </c>
      <c r="E3" t="s">
        <v>3</v>
      </c>
      <c r="I3" t="s">
        <v>71</v>
      </c>
      <c r="J3" t="s">
        <v>72</v>
      </c>
    </row>
    <row r="4" spans="2:10" x14ac:dyDescent="0.2">
      <c r="B4" t="s">
        <v>4</v>
      </c>
      <c r="C4" s="1" t="s">
        <v>5</v>
      </c>
      <c r="D4" s="1" t="s">
        <v>6</v>
      </c>
      <c r="E4" s="1" t="s">
        <v>7</v>
      </c>
      <c r="G4" s="1" t="s">
        <v>66</v>
      </c>
      <c r="H4" s="1" t="s">
        <v>74</v>
      </c>
      <c r="I4">
        <f>140+360+90</f>
        <v>590</v>
      </c>
      <c r="J4">
        <f>12+26+0.5</f>
        <v>38.5</v>
      </c>
    </row>
    <row r="5" spans="2:10" x14ac:dyDescent="0.2">
      <c r="B5" t="s">
        <v>8</v>
      </c>
      <c r="C5" s="1" t="s">
        <v>5</v>
      </c>
      <c r="D5" s="1" t="s">
        <v>9</v>
      </c>
      <c r="E5" s="1" t="s">
        <v>10</v>
      </c>
      <c r="G5" s="1" t="s">
        <v>67</v>
      </c>
      <c r="H5" s="1" t="s">
        <v>73</v>
      </c>
      <c r="I5">
        <f>100+130</f>
        <v>230</v>
      </c>
      <c r="J5">
        <f>4+27</f>
        <v>31</v>
      </c>
    </row>
    <row r="6" spans="2:10" x14ac:dyDescent="0.2">
      <c r="B6" t="s">
        <v>11</v>
      </c>
      <c r="C6" s="1" t="s">
        <v>12</v>
      </c>
      <c r="D6" s="1" t="s">
        <v>13</v>
      </c>
      <c r="E6" s="1" t="s">
        <v>14</v>
      </c>
      <c r="G6" s="1" t="s">
        <v>68</v>
      </c>
      <c r="H6" s="1" t="s">
        <v>75</v>
      </c>
      <c r="I6">
        <f>290+420+60</f>
        <v>770</v>
      </c>
      <c r="J6">
        <f>9+30+3</f>
        <v>42</v>
      </c>
    </row>
    <row r="7" spans="2:10" x14ac:dyDescent="0.2">
      <c r="B7" t="s">
        <v>15</v>
      </c>
      <c r="C7" s="1" t="s">
        <v>12</v>
      </c>
      <c r="D7" s="1" t="s">
        <v>16</v>
      </c>
      <c r="E7" s="1" t="s">
        <v>17</v>
      </c>
      <c r="G7" s="1" t="s">
        <v>69</v>
      </c>
      <c r="H7" s="1" t="s">
        <v>76</v>
      </c>
      <c r="I7">
        <f>90+180</f>
        <v>270</v>
      </c>
      <c r="J7">
        <f>1.5+5</f>
        <v>6.5</v>
      </c>
    </row>
    <row r="8" spans="2:10" x14ac:dyDescent="0.2">
      <c r="B8" t="s">
        <v>18</v>
      </c>
      <c r="C8" s="1" t="s">
        <v>19</v>
      </c>
      <c r="D8" s="1" t="s">
        <v>20</v>
      </c>
      <c r="E8" s="1" t="s">
        <v>21</v>
      </c>
      <c r="G8" s="1" t="s">
        <v>70</v>
      </c>
      <c r="H8" s="1" t="s">
        <v>79</v>
      </c>
      <c r="I8">
        <f>310+180</f>
        <v>490</v>
      </c>
      <c r="J8">
        <f>25+36</f>
        <v>61</v>
      </c>
    </row>
    <row r="9" spans="2:10" x14ac:dyDescent="0.2">
      <c r="B9" t="s">
        <v>22</v>
      </c>
      <c r="C9" s="1" t="s">
        <v>23</v>
      </c>
      <c r="D9" s="1">
        <v>180</v>
      </c>
      <c r="E9" s="1" t="s">
        <v>24</v>
      </c>
      <c r="I9">
        <f>SUM(I4:I8)</f>
        <v>2350</v>
      </c>
      <c r="J9">
        <f>SUM(J4:J8)</f>
        <v>179</v>
      </c>
    </row>
    <row r="10" spans="2:10" x14ac:dyDescent="0.2">
      <c r="B10" t="s">
        <v>25</v>
      </c>
      <c r="C10" s="1" t="s">
        <v>26</v>
      </c>
      <c r="D10" s="1">
        <v>130</v>
      </c>
      <c r="E10" s="1" t="s">
        <v>27</v>
      </c>
    </row>
    <row r="11" spans="2:10" x14ac:dyDescent="0.2">
      <c r="B11" t="s">
        <v>28</v>
      </c>
      <c r="C11" s="1" t="s">
        <v>5</v>
      </c>
      <c r="D11" s="1">
        <v>290</v>
      </c>
      <c r="E11" s="1" t="s">
        <v>29</v>
      </c>
    </row>
    <row r="12" spans="2:10" x14ac:dyDescent="0.2">
      <c r="B12" t="s">
        <v>30</v>
      </c>
      <c r="C12" s="1" t="s">
        <v>31</v>
      </c>
      <c r="D12" s="1">
        <v>150</v>
      </c>
      <c r="E12" s="1" t="s">
        <v>32</v>
      </c>
    </row>
    <row r="13" spans="2:10" x14ac:dyDescent="0.2">
      <c r="B13" t="s">
        <v>33</v>
      </c>
      <c r="C13" s="1" t="s">
        <v>34</v>
      </c>
      <c r="D13" s="1" t="s">
        <v>35</v>
      </c>
      <c r="E13" s="1" t="s">
        <v>36</v>
      </c>
      <c r="I13" t="s">
        <v>91</v>
      </c>
      <c r="J13" t="s">
        <v>92</v>
      </c>
    </row>
    <row r="14" spans="2:10" x14ac:dyDescent="0.2">
      <c r="B14" t="s">
        <v>37</v>
      </c>
      <c r="C14" s="1" t="s">
        <v>38</v>
      </c>
      <c r="D14" s="1" t="s">
        <v>39</v>
      </c>
      <c r="E14" s="1" t="s">
        <v>40</v>
      </c>
      <c r="H14" s="1" t="s">
        <v>80</v>
      </c>
      <c r="I14">
        <v>300</v>
      </c>
      <c r="J14">
        <v>34</v>
      </c>
    </row>
    <row r="15" spans="2:10" x14ac:dyDescent="0.2">
      <c r="B15" t="s">
        <v>41</v>
      </c>
      <c r="C15" s="1" t="s">
        <v>5</v>
      </c>
      <c r="D15" s="1">
        <v>70</v>
      </c>
      <c r="E15" s="1" t="s">
        <v>42</v>
      </c>
      <c r="H15" s="1" t="s">
        <v>81</v>
      </c>
      <c r="I15">
        <f>2*90+ 2.6*140</f>
        <v>544</v>
      </c>
      <c r="J15">
        <f>2*3+2.6*9</f>
        <v>29.400000000000002</v>
      </c>
    </row>
    <row r="16" spans="2:10" x14ac:dyDescent="0.2">
      <c r="B16" t="s">
        <v>89</v>
      </c>
      <c r="C16" s="1" t="s">
        <v>90</v>
      </c>
      <c r="D16" s="1">
        <v>65</v>
      </c>
      <c r="E16" s="1">
        <v>4</v>
      </c>
      <c r="H16" s="1" t="s">
        <v>88</v>
      </c>
      <c r="I16">
        <v>130</v>
      </c>
      <c r="J16">
        <v>8</v>
      </c>
    </row>
    <row r="17" spans="2:10" x14ac:dyDescent="0.2">
      <c r="B17" t="s">
        <v>43</v>
      </c>
      <c r="C17" s="1" t="s">
        <v>5</v>
      </c>
      <c r="D17" s="1">
        <v>360</v>
      </c>
      <c r="E17" s="1" t="s">
        <v>44</v>
      </c>
      <c r="H17" s="1" t="s">
        <v>82</v>
      </c>
      <c r="I17">
        <f>150+100+40</f>
        <v>290</v>
      </c>
      <c r="J17">
        <f>2.5+3+0.5</f>
        <v>6</v>
      </c>
    </row>
    <row r="18" spans="2:10" x14ac:dyDescent="0.2">
      <c r="B18" t="s">
        <v>45</v>
      </c>
      <c r="C18" s="1" t="s">
        <v>5</v>
      </c>
      <c r="D18" s="1" t="s">
        <v>46</v>
      </c>
      <c r="E18" s="1" t="s">
        <v>47</v>
      </c>
      <c r="H18" s="1" t="s">
        <v>86</v>
      </c>
      <c r="I18">
        <v>180</v>
      </c>
      <c r="J18">
        <v>36</v>
      </c>
    </row>
    <row r="19" spans="2:10" x14ac:dyDescent="0.2">
      <c r="B19" t="s">
        <v>65</v>
      </c>
      <c r="C19" s="1" t="s">
        <v>21</v>
      </c>
      <c r="D19" s="1" t="s">
        <v>48</v>
      </c>
      <c r="E19" s="1" t="s">
        <v>49</v>
      </c>
      <c r="H19" s="1" t="s">
        <v>81</v>
      </c>
      <c r="I19">
        <f>2*90+ 2.6*140</f>
        <v>544</v>
      </c>
      <c r="J19">
        <f>2*3+2.6*9</f>
        <v>29.400000000000002</v>
      </c>
    </row>
    <row r="20" spans="2:10" x14ac:dyDescent="0.2">
      <c r="B20" t="s">
        <v>64</v>
      </c>
      <c r="C20" s="1" t="s">
        <v>5</v>
      </c>
      <c r="D20" s="1" t="s">
        <v>50</v>
      </c>
      <c r="E20" s="1" t="s">
        <v>51</v>
      </c>
      <c r="H20" s="1" t="s">
        <v>87</v>
      </c>
      <c r="I20">
        <f>3*45+130</f>
        <v>265</v>
      </c>
      <c r="J20">
        <f>3*2.5+27</f>
        <v>34.5</v>
      </c>
    </row>
    <row r="21" spans="2:10" x14ac:dyDescent="0.2">
      <c r="B21" t="s">
        <v>52</v>
      </c>
      <c r="C21" s="1" t="s">
        <v>53</v>
      </c>
      <c r="D21" s="1" t="s">
        <v>54</v>
      </c>
      <c r="E21" s="1" t="s">
        <v>55</v>
      </c>
      <c r="H21" s="1" t="s">
        <v>93</v>
      </c>
      <c r="I21">
        <f>SUM(I14:I20)</f>
        <v>2253</v>
      </c>
      <c r="J21">
        <f>SUM(J14:J20)</f>
        <v>177.3</v>
      </c>
    </row>
    <row r="22" spans="2:10" x14ac:dyDescent="0.2">
      <c r="B22" t="s">
        <v>56</v>
      </c>
      <c r="C22" s="1" t="s">
        <v>57</v>
      </c>
      <c r="D22" s="1" t="s">
        <v>58</v>
      </c>
      <c r="E22" s="1" t="s">
        <v>59</v>
      </c>
    </row>
    <row r="23" spans="2:10" x14ac:dyDescent="0.2">
      <c r="B23" t="s">
        <v>77</v>
      </c>
      <c r="C23" s="1" t="s">
        <v>12</v>
      </c>
      <c r="D23" s="1">
        <v>30</v>
      </c>
      <c r="E23" s="1">
        <v>0.5</v>
      </c>
    </row>
    <row r="24" spans="2:10" x14ac:dyDescent="0.2">
      <c r="B24" t="s">
        <v>78</v>
      </c>
      <c r="C24" s="1" t="s">
        <v>31</v>
      </c>
      <c r="D24" s="1">
        <v>180</v>
      </c>
      <c r="E24" s="1">
        <v>4</v>
      </c>
    </row>
    <row r="25" spans="2:10" x14ac:dyDescent="0.2">
      <c r="B25" t="s">
        <v>83</v>
      </c>
      <c r="C25" s="1">
        <v>1</v>
      </c>
      <c r="D25" s="1" t="s">
        <v>84</v>
      </c>
      <c r="E25" s="1" t="s">
        <v>85</v>
      </c>
    </row>
    <row r="26" spans="2:10" x14ac:dyDescent="0.2">
      <c r="B26" t="s">
        <v>60</v>
      </c>
      <c r="C26" s="1" t="s">
        <v>61</v>
      </c>
      <c r="D26" s="1" t="s">
        <v>62</v>
      </c>
      <c r="E26" s="1" t="s">
        <v>63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Piratla</dc:creator>
  <cp:lastModifiedBy>Aditya Piratla</cp:lastModifiedBy>
  <dcterms:created xsi:type="dcterms:W3CDTF">2026-04-12T07:22:35Z</dcterms:created>
  <dcterms:modified xsi:type="dcterms:W3CDTF">2026-05-25T17:11:08Z</dcterms:modified>
</cp:coreProperties>
</file>